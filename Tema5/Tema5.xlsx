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ічень" sheetId="1" r:id="rId4"/>
    <sheet state="visible" name="Сводная таблица 2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<sst xmlns="http://schemas.openxmlformats.org/spreadsheetml/2006/main" count="31" uniqueCount="21">
  <si>
    <t>Дата</t>
  </si>
  <si>
    <t>Місяць</t>
  </si>
  <si>
    <t>Січень</t>
  </si>
  <si>
    <t>Вид продукції</t>
  </si>
  <si>
    <t>Одиниця виміру</t>
  </si>
  <si>
    <t>Кількість</t>
  </si>
  <si>
    <t>Собівартість</t>
  </si>
  <si>
    <t>Кількість браку</t>
  </si>
  <si>
    <t>% браку</t>
  </si>
  <si>
    <t>Загальна вартість</t>
  </si>
  <si>
    <t>Планова кількість</t>
  </si>
  <si>
    <t>Назва цеху</t>
  </si>
  <si>
    <t>Недо/перевиконання (к-сть)</t>
  </si>
  <si>
    <t>Недо/перевиконання (вартість)</t>
  </si>
  <si>
    <t>Деталь А</t>
  </si>
  <si>
    <t>шт</t>
  </si>
  <si>
    <t>Цех 1</t>
  </si>
  <si>
    <t>Деталь B</t>
  </si>
  <si>
    <t>Цех 2</t>
  </si>
  <si>
    <t>SUM из Загальна вартість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</si>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</sst>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14" xfId="0" applyBorder="1" applyFont="1" applyNumberFormat="1"/>
    <xf borderId="2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10" xfId="0" applyBorder="1" applyFont="1" applyNumberFormat="1"/>
    <xf borderId="3" fillId="0" fontId="1" numFmtId="0" xfId="0" applyBorder="1" applyFont="1"/>
    <xf borderId="4" fillId="0" fontId="1" numFmtId="164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4" fillId="0" fontId="1" numFmtId="10" xfId="0" applyBorder="1" applyFont="1" applyNumberFormat="1"/>
    <xf borderId="4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L7" sheet="Січень"/>
  </cacheSource>
  <cacheFields>
    <cacheField name="Дата" numFmtId="164">
      <sharedItems containsSemiMixedTypes="0" containsDate="1" containsString="0">
        <d v="2025-01-05T00:00:00Z"/>
        <d v="2025-01-06T00:00:00Z"/>
      </sharedItems>
    </cacheField>
    <cacheField name="Вид продукції" numFmtId="0">
      <sharedItems>
        <s v="Деталь А"/>
        <s v="Деталь B"/>
      </sharedItems>
    </cacheField>
    <cacheField name="Одиниця виміру" numFmtId="0">
      <sharedItems>
        <s v="шт"/>
      </sharedItems>
    </cacheField>
    <cacheField name="Кількість" numFmtId="0">
      <sharedItems containsSemiMixedTypes="0" containsString="0" containsNumber="1" containsInteger="1">
        <n v="120.0"/>
        <n v="80.0"/>
        <n v="140.0"/>
      </sharedItems>
    </cacheField>
    <cacheField name="Собівартість" numFmtId="0">
      <sharedItems containsSemiMixedTypes="0" containsString="0" containsNumber="1" containsInteger="1">
        <n v="45.0"/>
        <n v="60.0"/>
      </sharedItems>
    </cacheField>
    <cacheField name="Кількість браку" numFmtId="0">
      <sharedItems containsSemiMixedTypes="0" containsString="0" containsNumber="1" containsInteger="1">
        <n v="5.0"/>
        <n v="2.0"/>
        <n v="3.0"/>
      </sharedItems>
    </cacheField>
    <cacheField name="% браку" numFmtId="10">
      <sharedItems containsSemiMixedTypes="0" containsString="0" containsNumber="1">
        <n v="0.041666666666666664"/>
        <n v="0.025"/>
        <n v="0.02142857142857143"/>
      </sharedItems>
    </cacheField>
    <cacheField name="Загальна вартість" numFmtId="0">
      <sharedItems containsSemiMixedTypes="0" containsString="0" containsNumber="1" containsInteger="1">
        <n v="5400.0"/>
        <n v="4800.0"/>
        <n v="6300.0"/>
      </sharedItems>
    </cacheField>
    <cacheField name="Планова кількість" numFmtId="0">
      <sharedItems containsSemiMixedTypes="0" containsString="0" containsNumber="1" containsInteger="1">
        <n v="130.0"/>
        <n v="70.0"/>
      </sharedItems>
    </cacheField>
    <cacheField name="Назва цеху" numFmtId="0">
      <sharedItems>
        <s v="Цех 1"/>
        <s v="Цех 2"/>
      </sharedItems>
    </cacheField>
    <cacheField name="Недо/перевиконання (к-сть)" numFmtId="0">
      <sharedItems containsSemiMixedTypes="0" containsString="0" containsNumber="1" containsInteger="1">
        <n v="-10.0"/>
        <n v="10.0"/>
      </sharedItems>
    </cacheField>
    <cacheField name="Недо/перевиконання (вартість)" numFmtId="0">
      <sharedItems containsSemiMixedTypes="0" containsString="0" containsNumber="1" containsInteger="1">
        <n v="-450.0"/>
        <n v="600.0"/>
        <n v="4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2" cacheId="0" dataCaption="" compact="0" compactData="0">
  <location ref="A3:D6" firstHeaderRow="0" firstDataRow="1" firstDataCol="1" rowPageCount="1" colPageCount="1"/>
  <pivotFields>
    <pivotField name="Дата" axis="axisRow" compact="0" numFmtId="164" outline="0" multipleItemSelectionAllowed="1" showAll="0" sortType="ascending">
      <items>
        <item x="0"/>
        <item x="1"/>
        <item t="default"/>
      </items>
    </pivotField>
    <pivotField name="Вид продукції" axis="axisCol" compact="0" outline="0" multipleItemSelectionAllowed="1" showAll="0" sortType="ascending">
      <items>
        <item x="0"/>
        <item x="1"/>
        <item t="default"/>
      </items>
    </pivotField>
    <pivotField name="Одиниця виміру" compact="0" outline="0" multipleItemSelectionAllowed="1" showAll="0">
      <items>
        <item x="0"/>
        <item t="default"/>
      </items>
    </pivotField>
    <pivotField name="Кількість" compact="0" outline="0" multipleItemSelectionAllowed="1" showAll="0">
      <items>
        <item x="0"/>
        <item x="1"/>
        <item x="2"/>
        <item t="default"/>
      </items>
    </pivotField>
    <pivotField name="Собівартість" compact="0" outline="0" multipleItemSelectionAllowed="1" showAll="0">
      <items>
        <item x="0"/>
        <item x="1"/>
        <item t="default"/>
      </items>
    </pivotField>
    <pivotField name="Кількість браку" compact="0" outline="0" multipleItemSelectionAllowed="1" showAll="0">
      <items>
        <item x="0"/>
        <item x="1"/>
        <item x="2"/>
        <item t="default"/>
      </items>
    </pivotField>
    <pivotField name="% браку" compact="0" numFmtId="10" outline="0" multipleItemSelectionAllowed="1" showAll="0">
      <items>
        <item x="0"/>
        <item x="1"/>
        <item x="2"/>
        <item t="default"/>
      </items>
    </pivotField>
    <pivotField name="Загальна вартість" dataField="1" compact="0" outline="0" multipleItemSelectionAllowed="1" showAll="0">
      <items>
        <item x="0"/>
        <item x="1"/>
        <item x="2"/>
        <item t="default"/>
      </items>
    </pivotField>
    <pivotField name="Планова кількість" compact="0" outline="0" multipleItemSelectionAllowed="1" showAll="0">
      <items>
        <item x="0"/>
        <item x="1"/>
        <item t="default"/>
      </items>
    </pivotField>
    <pivotField name="Назва цеху" axis="axisPage" compact="0" outline="0" multipleItemSelectionAllowed="1" showAll="0">
      <items>
        <item x="0"/>
        <item h="1" x="1"/>
        <item t="default"/>
      </items>
    </pivotField>
    <pivotField name="Недо/перевиконання (к-сть)" compact="0" outline="0" multipleItemSelectionAllowed="1" showAll="0">
      <items>
        <item x="0"/>
        <item x="1"/>
        <item t="default"/>
      </items>
    </pivotField>
    <pivotField name="Недо/перевиконання (вартість)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1"/>
  </colFields>
  <pageFields>
    <pageField fld="9"/>
  </pageFields>
  <dataFields>
    <dataField name="SUM of Загальна вартість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25"/>
    <col customWidth="1" min="3" max="3" width="15.25"/>
    <col customWidth="1" min="4" max="4" width="10.88"/>
    <col customWidth="1" min="6" max="6" width="14.0"/>
    <col customWidth="1" min="7" max="7" width="11.13"/>
    <col customWidth="1" min="8" max="8" width="17.88"/>
    <col customWidth="1" min="9" max="9" width="15.88"/>
    <col customWidth="1" min="11" max="11" width="24.0"/>
    <col customWidth="1" min="12" max="12" width="27.0"/>
  </cols>
  <sheetData>
    <row r="1">
      <c r="A1" s="1" t="s">
        <v>0</v>
      </c>
      <c r="B1" s="2">
        <f>TODAY()</f>
        <v>46004</v>
      </c>
    </row>
    <row r="2">
      <c r="A2" s="1" t="s">
        <v>1</v>
      </c>
      <c r="B2" s="3" t="s">
        <v>2</v>
      </c>
    </row>
    <row r="4">
      <c r="A4" s="1" t="s">
        <v>0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>
      <c r="A5" s="4">
        <v>45662.0</v>
      </c>
      <c r="B5" s="5" t="s">
        <v>14</v>
      </c>
      <c r="C5" s="5" t="s">
        <v>15</v>
      </c>
      <c r="D5" s="5">
        <v>120.0</v>
      </c>
      <c r="E5" s="5">
        <v>45.0</v>
      </c>
      <c r="F5" s="5">
        <v>5.0</v>
      </c>
      <c r="G5" s="6">
        <f t="shared" ref="G5:G7" si="1">F5/D5</f>
        <v>0.04166666667</v>
      </c>
      <c r="H5" s="7">
        <f t="shared" ref="H5:H7" si="2">D5*E5</f>
        <v>5400</v>
      </c>
      <c r="I5" s="5">
        <v>130.0</v>
      </c>
      <c r="J5" s="5" t="s">
        <v>16</v>
      </c>
      <c r="K5" s="7">
        <f t="shared" ref="K5:K7" si="3">D5-I5</f>
        <v>-10</v>
      </c>
      <c r="L5" s="7">
        <f t="shared" ref="L5:L7" si="4">(D5-I5)*E5</f>
        <v>-450</v>
      </c>
    </row>
    <row r="6">
      <c r="A6" s="8">
        <v>45662.0</v>
      </c>
      <c r="B6" s="9" t="s">
        <v>17</v>
      </c>
      <c r="C6" s="9" t="s">
        <v>15</v>
      </c>
      <c r="D6" s="9">
        <v>80.0</v>
      </c>
      <c r="E6" s="9">
        <v>60.0</v>
      </c>
      <c r="F6" s="9">
        <v>2.0</v>
      </c>
      <c r="G6" s="10">
        <f t="shared" si="1"/>
        <v>0.025</v>
      </c>
      <c r="H6" s="11">
        <f t="shared" si="2"/>
        <v>4800</v>
      </c>
      <c r="I6" s="9">
        <v>70.0</v>
      </c>
      <c r="J6" s="9" t="s">
        <v>16</v>
      </c>
      <c r="K6" s="11">
        <f t="shared" si="3"/>
        <v>10</v>
      </c>
      <c r="L6" s="11">
        <f t="shared" si="4"/>
        <v>600</v>
      </c>
    </row>
    <row r="7">
      <c r="A7" s="8">
        <v>45663.0</v>
      </c>
      <c r="B7" s="9" t="s">
        <v>14</v>
      </c>
      <c r="C7" s="9" t="s">
        <v>15</v>
      </c>
      <c r="D7" s="9">
        <v>140.0</v>
      </c>
      <c r="E7" s="9">
        <v>45.0</v>
      </c>
      <c r="F7" s="9">
        <v>3.0</v>
      </c>
      <c r="G7" s="10">
        <f t="shared" si="1"/>
        <v>0.02142857143</v>
      </c>
      <c r="H7" s="11">
        <f t="shared" si="2"/>
        <v>6300</v>
      </c>
      <c r="I7" s="9">
        <v>130.0</v>
      </c>
      <c r="J7" s="9" t="s">
        <v>18</v>
      </c>
      <c r="K7" s="11">
        <f t="shared" si="3"/>
        <v>10</v>
      </c>
      <c r="L7" s="11">
        <f t="shared" si="4"/>
        <v>450</v>
      </c>
    </row>
    <row r="8">
      <c r="C8" s="12"/>
    </row>
    <row r="10">
      <c r="C1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